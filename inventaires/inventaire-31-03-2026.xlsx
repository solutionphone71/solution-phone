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 général" sheetId="1" state="visible" r:id="rId3"/>
    <sheet name="Accessoires-Pièces" sheetId="2" state="visible" r:id="rId4"/>
    <sheet name="Samsung-Motorola neufs" sheetId="3" state="visible" r:id="rId5"/>
    <sheet name="Smartphones occa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<sst xmlns="http://schemas.openxmlformats.org/spreadsheetml/2006/main" count="124" uniqueCount="114">
  <si>
    <t xml:space="preserve">SOLUTION PHONE</t>
  </si>
  <si>
    <t xml:space="preserve">Inventaire valorisé au 31 mars 2026</t>
  </si>
  <si>
    <t xml:space="preserve">EURL Solution Phone — 21 rue Gambetta — 71000 Mâcon</t>
  </si>
  <si>
    <t xml:space="preserve">Mode de valorisation : coût d'acquisition HT (Art. R123-179)</t>
  </si>
  <si>
    <t xml:space="preserve">Catégorie</t>
  </si>
  <si>
    <t xml:space="preserve">Montant HT (€)</t>
  </si>
  <si>
    <t xml:space="preserve">1. Accessoires &amp; pièces détachées</t>
  </si>
  <si>
    <t xml:space="preserve">2. Smartphones neufs Samsung &amp; Motorola</t>
  </si>
  <si>
    <t xml:space="preserve">3. Smartphones d'occasion (depuis Supabase)</t>
  </si>
  <si>
    <t xml:space="preserve">TOTAL INVENTAIRE HT</t>
  </si>
  <si>
    <t xml:space="preserve">Établi par : Sébastien Cannard — Gérant</t>
  </si>
  <si>
    <t xml:space="preserve">Signature :  ____________________________________</t>
  </si>
  <si>
    <t xml:space="preserve">Date de l'inventaire physique : 31 mars 2026</t>
  </si>
  <si>
    <t xml:space="preserve">Lieu : 21 rue Gambetta, 71000 Mâcon</t>
  </si>
  <si>
    <t xml:space="preserve">Vérifié par : __________________________________</t>
  </si>
  <si>
    <t xml:space="preserve">SOLUTION PHONE — Inventaire au 31/03/2026</t>
  </si>
  <si>
    <t xml:space="preserve">Désignation</t>
  </si>
  <si>
    <t xml:space="preserve">Quantité</t>
  </si>
  <si>
    <t xml:space="preserve">PU HT (€)</t>
  </si>
  <si>
    <t xml:space="preserve">▸ Écrans iPhone</t>
  </si>
  <si>
    <t xml:space="preserve">Écran iPhone 15 Pro Max — qualité OEM Original</t>
  </si>
  <si>
    <t xml:space="preserve">Écran iPhone 14 Pro Max — qualité OEM</t>
  </si>
  <si>
    <t xml:space="preserve">Écran iPhone 14 Pro — qualité OEM</t>
  </si>
  <si>
    <t xml:space="preserve">Écran iPhone 14 — qualité LPTS Prime</t>
  </si>
  <si>
    <t xml:space="preserve">Écran iPhone 13 — qualité LPTS Prime</t>
  </si>
  <si>
    <t xml:space="preserve">Écran iPhone 12 — qualité LPTS</t>
  </si>
  <si>
    <t xml:space="preserve">Écran iPhone 11 — qualité HD ECO+</t>
  </si>
  <si>
    <t xml:space="preserve">Écran iPhone XR — qualité LPTS</t>
  </si>
  <si>
    <t xml:space="preserve">Écran iPhone XS Max — qualité OEM</t>
  </si>
  <si>
    <t xml:space="preserve">Écran iPhone SE 2/3 — qualité LPTS</t>
  </si>
  <si>
    <t xml:space="preserve">Sous-total Écrans iPhone</t>
  </si>
  <si>
    <t xml:space="preserve">▸ Écrans Samsung</t>
  </si>
  <si>
    <t xml:space="preserve">Écran Samsung Galaxy S23 — Service Pack</t>
  </si>
  <si>
    <t xml:space="preserve">Écran Samsung Galaxy S22 — Service Pack</t>
  </si>
  <si>
    <t xml:space="preserve">Écran Samsung Galaxy A53 / A54</t>
  </si>
  <si>
    <t xml:space="preserve">Écran Samsung Galaxy A14 / A24</t>
  </si>
  <si>
    <t xml:space="preserve">Sous-total Écrans Samsung</t>
  </si>
  <si>
    <t xml:space="preserve">▸ Batteries</t>
  </si>
  <si>
    <t xml:space="preserve">Batterie iPhone 14</t>
  </si>
  <si>
    <t xml:space="preserve">Batterie iPhone 13</t>
  </si>
  <si>
    <t xml:space="preserve">Batterie iPhone 12</t>
  </si>
  <si>
    <t xml:space="preserve">Batterie iPhone 11</t>
  </si>
  <si>
    <t xml:space="preserve">Batterie iPhone XR</t>
  </si>
  <si>
    <t xml:space="preserve">Batterie iPhone X / XS</t>
  </si>
  <si>
    <t xml:space="preserve">Batterie iPhone SE 2/3</t>
  </si>
  <si>
    <t xml:space="preserve">Batterie Samsung Galaxy S22 / S23</t>
  </si>
  <si>
    <t xml:space="preserve">Batterie Samsung Galaxy S21</t>
  </si>
  <si>
    <t xml:space="preserve">Sous-total Batteries</t>
  </si>
  <si>
    <t xml:space="preserve">▸ Pièces détachées diverses</t>
  </si>
  <si>
    <t xml:space="preserve">Connecteurs de charge (Lightning + USB-C, tous modèles)</t>
  </si>
  <si>
    <t xml:space="preserve">Vitres arrière iPhone 12-14</t>
  </si>
  <si>
    <t xml:space="preserve">Nappes de charge</t>
  </si>
  <si>
    <t xml:space="preserve">Caméras avant iPhone</t>
  </si>
  <si>
    <t xml:space="preserve">Caméras arrière iPhone</t>
  </si>
  <si>
    <t xml:space="preserve">Boutons home iPhone</t>
  </si>
  <si>
    <t xml:space="preserve">Lecteurs SIM</t>
  </si>
  <si>
    <t xml:space="preserve">Nappes power / volume</t>
  </si>
  <si>
    <t xml:space="preserve">Joints d'étanchéité, visserie, petites pièces</t>
  </si>
  <si>
    <t xml:space="preserve">Sous-total Pièces détachées diverses</t>
  </si>
  <si>
    <t xml:space="preserve">▸ Coques, films &amp; protections</t>
  </si>
  <si>
    <t xml:space="preserve">Coques silicone tous modèles</t>
  </si>
  <si>
    <t xml:space="preserve">Coques renforcées anti-choc</t>
  </si>
  <si>
    <t xml:space="preserve">Verres trempés tous modèles</t>
  </si>
  <si>
    <t xml:space="preserve">Films hydrogel anti-casse</t>
  </si>
  <si>
    <t xml:space="preserve">Coques officielles Apple / Samsung</t>
  </si>
  <si>
    <t xml:space="preserve">Coques fashion / designer</t>
  </si>
  <si>
    <t xml:space="preserve">Sous-total Coques, films &amp; protections</t>
  </si>
  <si>
    <t xml:space="preserve">▸ Accessoires</t>
  </si>
  <si>
    <t xml:space="preserve">Chargeurs USB-C 20W</t>
  </si>
  <si>
    <t xml:space="preserve">Chargeurs Lightning</t>
  </si>
  <si>
    <t xml:space="preserve">Câbles USB-C / Lightning</t>
  </si>
  <si>
    <t xml:space="preserve">Écouteurs filaires</t>
  </si>
  <si>
    <t xml:space="preserve">Écouteurs Bluetooth</t>
  </si>
  <si>
    <t xml:space="preserve">Supports voiture / muraux</t>
  </si>
  <si>
    <t xml:space="preserve">Sous-total Accessoires</t>
  </si>
  <si>
    <t xml:space="preserve">TOTAL Section 1 — Accessoires &amp; pièces</t>
  </si>
  <si>
    <t xml:space="preserve">▸ Samsung</t>
  </si>
  <si>
    <t xml:space="preserve">Samsung Galaxy S24 — 128 Go — Noir</t>
  </si>
  <si>
    <t xml:space="preserve">Samsung Galaxy A55 5G — 256 Go — Bleu nuit</t>
  </si>
  <si>
    <t xml:space="preserve">Samsung Galaxy A35 5G — 128 Go — Noir / Bleu</t>
  </si>
  <si>
    <t xml:space="preserve">Samsung Galaxy A15 — 128 Go — Noir</t>
  </si>
  <si>
    <t xml:space="preserve">Samsung Galaxy A05 — 64 Go — Noir / Argent</t>
  </si>
  <si>
    <t xml:space="preserve">Sous-total Samsung</t>
  </si>
  <si>
    <t xml:space="preserve">▸ Motorola</t>
  </si>
  <si>
    <t xml:space="preserve">Motorola Razr 40 — 256 Go — Vert sauge</t>
  </si>
  <si>
    <t xml:space="preserve">Motorola Edge 50 Fusion — 256 Go</t>
  </si>
  <si>
    <t xml:space="preserve">Motorola Moto G84 — 256 Go</t>
  </si>
  <si>
    <t xml:space="preserve">Motorola Moto G54 5G — 256 Go</t>
  </si>
  <si>
    <t xml:space="preserve">Motorola Moto G34 — 128 Go</t>
  </si>
  <si>
    <t xml:space="preserve">Sous-total Motorola</t>
  </si>
  <si>
    <t xml:space="preserve">TOTAL Section 2 — Samsung &amp; Motorola neufs</t>
  </si>
  <si>
    <t xml:space="preserve">3. Smartphones d'occasion en stock au 31/03/2026 (vue agrégée par modèle)</t>
  </si>
  <si>
    <t xml:space="preserve">Source : extraction Supabase phones · 17 modèles · 19 smartphones</t>
  </si>
  <si>
    <t xml:space="preserve">Modèle</t>
  </si>
  <si>
    <t xml:space="preserve">Prix moyen HT (€)</t>
  </si>
  <si>
    <t xml:space="preserve">Valeur totale HT (€)</t>
  </si>
  <si>
    <t xml:space="preserve">IPHONE 14 PRO MAX</t>
  </si>
  <si>
    <t xml:space="preserve">IPHONE 15 PRO MAX</t>
  </si>
  <si>
    <t xml:space="preserve">Iphone 15</t>
  </si>
  <si>
    <t xml:space="preserve">Samsung S24</t>
  </si>
  <si>
    <t xml:space="preserve">IPHONE 13 PRO MAX</t>
  </si>
  <si>
    <t xml:space="preserve">IPHONE 13</t>
  </si>
  <si>
    <t xml:space="preserve">S23 Ultra</t>
  </si>
  <si>
    <t xml:space="preserve">IPHONE 14 pro</t>
  </si>
  <si>
    <t xml:space="preserve">iPhone 13 pro</t>
  </si>
  <si>
    <t xml:space="preserve">SAMSUNG S22 ultra</t>
  </si>
  <si>
    <t xml:space="preserve">iPhone 12 PO MAX</t>
  </si>
  <si>
    <t xml:space="preserve">SAMSUNG S21</t>
  </si>
  <si>
    <t xml:space="preserve">HONOR MAGIC 8 LITE</t>
  </si>
  <si>
    <t xml:space="preserve">iPhone 14 Pro</t>
  </si>
  <si>
    <t xml:space="preserve">iPhone 12</t>
  </si>
  <si>
    <t xml:space="preserve">iphone 11</t>
  </si>
  <si>
    <t xml:space="preserve">IPHONE 8 PLUS</t>
  </si>
  <si>
    <t xml:space="preserve">TOTAL Section 3 — Smartphones occasion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</si>
</sst>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0392B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0392B"/>
        <bgColor rgb="FF993366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22"/>
  </cols>
  <sheetData>
    <row r="1" customFormat="false" ht="30" hidden="false" customHeight="true" outlineLevel="0" collapsed="false">
      <c r="A1" s="2" t="s">
        <v>0</v>
      </c>
      <c r="B1" s="2"/>
    </row>
    <row r="2" customFormat="false" ht="21.75" hidden="false" customHeight="true" outlineLevel="0" collapsed="false">
      <c r="A2" s="3" t="s">
        <v>1</v>
      </c>
      <c r="B2" s="3"/>
    </row>
    <row r="3" customFormat="false" ht="15" hidden="false" customHeight="true" outlineLevel="0" collapsed="false">
      <c r="A3" s="4" t="s">
        <v>2</v>
      </c>
      <c r="B3" s="4"/>
    </row>
    <row r="4" customFormat="false" ht="15" hidden="false" customHeight="true" outlineLevel="0" collapsed="false">
      <c r="A4" s="4" t="s">
        <v>3</v>
      </c>
      <c r="B4" s="4"/>
    </row>
    <row r="6" customFormat="false" ht="15" hidden="false" customHeight="true" outlineLevel="0" collapsed="false">
      <c r="A6" s="5" t="s">
        <v>4</v>
      </c>
      <c r="B6" s="6" t="s">
        <v>5</v>
      </c>
    </row>
    <row r="7" customFormat="false" ht="15" hidden="false" customHeight="true" outlineLevel="0" collapsed="false">
      <c r="A7" s="1" t="s">
        <v>6</v>
      </c>
      <c r="B7" s="7" t="n">
        <f aca="false">'Accessoires-Pièces'!D68</f>
        <v>22205</v>
      </c>
    </row>
    <row r="8" customFormat="false" ht="15" hidden="false" customHeight="true" outlineLevel="0" collapsed="false">
      <c r="A8" s="1" t="s">
        <v>7</v>
      </c>
      <c r="B8" s="7" t="n">
        <f aca="false">'Samsung-Motorola neufs'!D22</f>
        <v>3570</v>
      </c>
    </row>
    <row r="9" customFormat="false" ht="15" hidden="false" customHeight="true" outlineLevel="0" collapsed="false">
      <c r="A9" s="1" t="s">
        <v>8</v>
      </c>
      <c r="B9" s="8" t="n">
        <f aca="false">'Smartphones occasion'!D24</f>
        <v>4994.98</v>
      </c>
    </row>
    <row r="11" customFormat="false" ht="27.75" hidden="false" customHeight="true" outlineLevel="0" collapsed="false">
      <c r="A11" s="9" t="s">
        <v>9</v>
      </c>
      <c r="B11" s="10" t="n">
        <f aca="false">B7+B8+B9</f>
        <v>30769.98</v>
      </c>
    </row>
    <row r="14" customFormat="false" ht="15" hidden="false" customHeight="true" outlineLevel="0" collapsed="false">
      <c r="A14" s="11" t="s">
        <v>10</v>
      </c>
    </row>
    <row r="15" customFormat="false" ht="15" hidden="false" customHeight="true" outlineLevel="0" collapsed="false">
      <c r="A15" s="1" t="s">
        <v>11</v>
      </c>
    </row>
    <row r="17" customFormat="false" ht="15" hidden="false" customHeight="true" outlineLevel="0" collapsed="false">
      <c r="A17" s="1" t="s">
        <v>12</v>
      </c>
    </row>
    <row r="18" customFormat="false" ht="15" hidden="false" customHeight="true" outlineLevel="0" collapsed="false">
      <c r="A18" s="1" t="s">
        <v>13</v>
      </c>
    </row>
    <row r="20" customFormat="false" ht="15" hidden="false" customHeight="true" outlineLevel="0" collapsed="false">
      <c r="A20" s="1" t="s">
        <v>14</v>
      </c>
    </row>
  </sheetData>
  <mergeCells count="4">
    <mergeCell ref="A1:B1"/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24" hidden="false" customHeight="true" outlineLevel="0" collapsed="false">
      <c r="A1" s="12" t="s">
        <v>15</v>
      </c>
      <c r="B1" s="12"/>
      <c r="C1" s="12"/>
      <c r="D1" s="12"/>
    </row>
    <row r="2" customFormat="false" ht="19.5" hidden="false" customHeight="true" outlineLevel="0" collapsed="false">
      <c r="A2" s="13" t="s">
        <v>6</v>
      </c>
      <c r="B2" s="13"/>
      <c r="C2" s="13"/>
      <c r="D2" s="13"/>
    </row>
    <row r="4" customFormat="false" ht="15" hidden="false" customHeight="true" outlineLevel="0" collapsed="false">
      <c r="A4" s="14" t="s">
        <v>16</v>
      </c>
      <c r="B4" s="14" t="s">
        <v>17</v>
      </c>
      <c r="C4" s="14" t="s">
        <v>18</v>
      </c>
      <c r="D4" s="14" t="s">
        <v>5</v>
      </c>
    </row>
    <row r="5" customFormat="false" ht="15" hidden="false" customHeight="true" outlineLevel="0" collapsed="false">
      <c r="A5" s="15" t="s">
        <v>19</v>
      </c>
      <c r="B5" s="15"/>
      <c r="C5" s="15"/>
      <c r="D5" s="15"/>
    </row>
    <row r="6" customFormat="false" ht="15" hidden="false" customHeight="true" outlineLevel="0" collapsed="false">
      <c r="A6" s="16" t="s">
        <v>20</v>
      </c>
      <c r="B6" s="17" t="n">
        <v>5</v>
      </c>
      <c r="C6" s="18" t="n">
        <v>320</v>
      </c>
      <c r="D6" s="18" t="n">
        <f aca="false">B6*C6</f>
        <v>1600</v>
      </c>
    </row>
    <row r="7" customFormat="false" ht="15" hidden="false" customHeight="true" outlineLevel="0" collapsed="false">
      <c r="A7" s="16" t="s">
        <v>21</v>
      </c>
      <c r="B7" s="17" t="n">
        <v>8</v>
      </c>
      <c r="C7" s="18" t="n">
        <v>280</v>
      </c>
      <c r="D7" s="18" t="n">
        <f aca="false">B7*C7</f>
        <v>2240</v>
      </c>
    </row>
    <row r="8" customFormat="false" ht="15" hidden="false" customHeight="true" outlineLevel="0" collapsed="false">
      <c r="A8" s="16" t="s">
        <v>22</v>
      </c>
      <c r="B8" s="17" t="n">
        <v>10</v>
      </c>
      <c r="C8" s="18" t="n">
        <v>220</v>
      </c>
      <c r="D8" s="18" t="n">
        <f aca="false">B8*C8</f>
        <v>2200</v>
      </c>
    </row>
    <row r="9" customFormat="false" ht="15" hidden="false" customHeight="true" outlineLevel="0" collapsed="false">
      <c r="A9" s="16" t="s">
        <v>23</v>
      </c>
      <c r="B9" s="17" t="n">
        <v>8</v>
      </c>
      <c r="C9" s="18" t="n">
        <v>120</v>
      </c>
      <c r="D9" s="18" t="n">
        <f aca="false">B9*C9</f>
        <v>960</v>
      </c>
    </row>
    <row r="10" customFormat="false" ht="15" hidden="false" customHeight="true" outlineLevel="0" collapsed="false">
      <c r="A10" s="16" t="s">
        <v>24</v>
      </c>
      <c r="B10" s="17" t="n">
        <v>12</v>
      </c>
      <c r="C10" s="18" t="n">
        <v>95</v>
      </c>
      <c r="D10" s="18" t="n">
        <f aca="false">B10*C10</f>
        <v>1140</v>
      </c>
    </row>
    <row r="11" customFormat="false" ht="15" hidden="false" customHeight="true" outlineLevel="0" collapsed="false">
      <c r="A11" s="16" t="s">
        <v>25</v>
      </c>
      <c r="B11" s="17" t="n">
        <v>15</v>
      </c>
      <c r="C11" s="18" t="n">
        <v>65</v>
      </c>
      <c r="D11" s="18" t="n">
        <f aca="false">B11*C11</f>
        <v>975</v>
      </c>
    </row>
    <row r="12" customFormat="false" ht="15" hidden="false" customHeight="true" outlineLevel="0" collapsed="false">
      <c r="A12" s="16" t="s">
        <v>26</v>
      </c>
      <c r="B12" s="17" t="n">
        <v>10</v>
      </c>
      <c r="C12" s="18" t="n">
        <v>45</v>
      </c>
      <c r="D12" s="18" t="n">
        <f aca="false">B12*C12</f>
        <v>450</v>
      </c>
    </row>
    <row r="13" customFormat="false" ht="15" hidden="false" customHeight="true" outlineLevel="0" collapsed="false">
      <c r="A13" s="16" t="s">
        <v>27</v>
      </c>
      <c r="B13" s="17" t="n">
        <v>8</v>
      </c>
      <c r="C13" s="18" t="n">
        <v>55</v>
      </c>
      <c r="D13" s="18" t="n">
        <f aca="false">B13*C13</f>
        <v>440</v>
      </c>
    </row>
    <row r="14" customFormat="false" ht="15" hidden="false" customHeight="true" outlineLevel="0" collapsed="false">
      <c r="A14" s="16" t="s">
        <v>28</v>
      </c>
      <c r="B14" s="17" t="n">
        <v>6</v>
      </c>
      <c r="C14" s="18" t="n">
        <v>85</v>
      </c>
      <c r="D14" s="18" t="n">
        <f aca="false">B14*C14</f>
        <v>510</v>
      </c>
    </row>
    <row r="15" customFormat="false" ht="15" hidden="false" customHeight="true" outlineLevel="0" collapsed="false">
      <c r="A15" s="16" t="s">
        <v>29</v>
      </c>
      <c r="B15" s="17" t="n">
        <v>12</v>
      </c>
      <c r="C15" s="18" t="n">
        <v>32</v>
      </c>
      <c r="D15" s="18" t="n">
        <f aca="false">B15*C15</f>
        <v>384</v>
      </c>
    </row>
    <row r="16" customFormat="false" ht="15" hidden="false" customHeight="true" outlineLevel="0" collapsed="false">
      <c r="A16" s="19" t="s">
        <v>30</v>
      </c>
      <c r="B16" s="20"/>
      <c r="C16" s="20"/>
      <c r="D16" s="21" t="n">
        <f aca="false">SUM(D6:D15)</f>
        <v>10899</v>
      </c>
    </row>
    <row r="18" customFormat="false" ht="15" hidden="false" customHeight="true" outlineLevel="0" collapsed="false">
      <c r="A18" s="15" t="s">
        <v>31</v>
      </c>
      <c r="B18" s="15"/>
      <c r="C18" s="15"/>
      <c r="D18" s="15"/>
    </row>
    <row r="19" customFormat="false" ht="15" hidden="false" customHeight="true" outlineLevel="0" collapsed="false">
      <c r="A19" s="16" t="s">
        <v>32</v>
      </c>
      <c r="B19" s="17" t="n">
        <v>4</v>
      </c>
      <c r="C19" s="18" t="n">
        <v>220</v>
      </c>
      <c r="D19" s="18" t="n">
        <f aca="false">B19*C19</f>
        <v>880</v>
      </c>
    </row>
    <row r="20" customFormat="false" ht="15" hidden="false" customHeight="true" outlineLevel="0" collapsed="false">
      <c r="A20" s="16" t="s">
        <v>33</v>
      </c>
      <c r="B20" s="17" t="n">
        <v>4</v>
      </c>
      <c r="C20" s="18" t="n">
        <v>180</v>
      </c>
      <c r="D20" s="18" t="n">
        <f aca="false">B20*C20</f>
        <v>720</v>
      </c>
    </row>
    <row r="21" customFormat="false" ht="15" hidden="false" customHeight="true" outlineLevel="0" collapsed="false">
      <c r="A21" s="16" t="s">
        <v>34</v>
      </c>
      <c r="B21" s="17" t="n">
        <v>6</v>
      </c>
      <c r="C21" s="18" t="n">
        <v>95</v>
      </c>
      <c r="D21" s="18" t="n">
        <f aca="false">B21*C21</f>
        <v>570</v>
      </c>
    </row>
    <row r="22" customFormat="false" ht="15" hidden="false" customHeight="true" outlineLevel="0" collapsed="false">
      <c r="A22" s="16" t="s">
        <v>35</v>
      </c>
      <c r="B22" s="17" t="n">
        <v>8</v>
      </c>
      <c r="C22" s="18" t="n">
        <v>55</v>
      </c>
      <c r="D22" s="18" t="n">
        <f aca="false">B22*C22</f>
        <v>440</v>
      </c>
    </row>
    <row r="23" customFormat="false" ht="15" hidden="false" customHeight="true" outlineLevel="0" collapsed="false">
      <c r="A23" s="19" t="s">
        <v>36</v>
      </c>
      <c r="B23" s="20"/>
      <c r="C23" s="20"/>
      <c r="D23" s="21" t="n">
        <f aca="false">SUM(D19:D22)</f>
        <v>2610</v>
      </c>
    </row>
    <row r="25" customFormat="false" ht="15" hidden="false" customHeight="true" outlineLevel="0" collapsed="false">
      <c r="A25" s="15" t="s">
        <v>37</v>
      </c>
      <c r="B25" s="15"/>
      <c r="C25" s="15"/>
      <c r="D25" s="15"/>
    </row>
    <row r="26" customFormat="false" ht="15" hidden="false" customHeight="true" outlineLevel="0" collapsed="false">
      <c r="A26" s="16" t="s">
        <v>38</v>
      </c>
      <c r="B26" s="17" t="n">
        <v>25</v>
      </c>
      <c r="C26" s="18" t="n">
        <v>22</v>
      </c>
      <c r="D26" s="18" t="n">
        <f aca="false">B26*C26</f>
        <v>550</v>
      </c>
    </row>
    <row r="27" customFormat="false" ht="15" hidden="false" customHeight="true" outlineLevel="0" collapsed="false">
      <c r="A27" s="16" t="s">
        <v>39</v>
      </c>
      <c r="B27" s="17" t="n">
        <v>20</v>
      </c>
      <c r="C27" s="18" t="n">
        <v>18</v>
      </c>
      <c r="D27" s="18" t="n">
        <f aca="false">B27*C27</f>
        <v>360</v>
      </c>
    </row>
    <row r="28" customFormat="false" ht="15" hidden="false" customHeight="true" outlineLevel="0" collapsed="false">
      <c r="A28" s="16" t="s">
        <v>40</v>
      </c>
      <c r="B28" s="17" t="n">
        <v>25</v>
      </c>
      <c r="C28" s="18" t="n">
        <v>16</v>
      </c>
      <c r="D28" s="18" t="n">
        <f aca="false">B28*C28</f>
        <v>400</v>
      </c>
    </row>
    <row r="29" customFormat="false" ht="15" hidden="false" customHeight="true" outlineLevel="0" collapsed="false">
      <c r="A29" s="16" t="s">
        <v>41</v>
      </c>
      <c r="B29" s="17" t="n">
        <v>30</v>
      </c>
      <c r="C29" s="18" t="n">
        <v>14</v>
      </c>
      <c r="D29" s="18" t="n">
        <f aca="false">B29*C29</f>
        <v>420</v>
      </c>
    </row>
    <row r="30" customFormat="false" ht="15" hidden="false" customHeight="true" outlineLevel="0" collapsed="false">
      <c r="A30" s="16" t="s">
        <v>42</v>
      </c>
      <c r="B30" s="17" t="n">
        <v>20</v>
      </c>
      <c r="C30" s="18" t="n">
        <v>13</v>
      </c>
      <c r="D30" s="18" t="n">
        <f aca="false">B30*C30</f>
        <v>260</v>
      </c>
    </row>
    <row r="31" customFormat="false" ht="15" hidden="false" customHeight="true" outlineLevel="0" collapsed="false">
      <c r="A31" s="16" t="s">
        <v>43</v>
      </c>
      <c r="B31" s="17" t="n">
        <v>15</v>
      </c>
      <c r="C31" s="18" t="n">
        <v>12</v>
      </c>
      <c r="D31" s="18" t="n">
        <f aca="false">B31*C31</f>
        <v>180</v>
      </c>
    </row>
    <row r="32" customFormat="false" ht="15" hidden="false" customHeight="true" outlineLevel="0" collapsed="false">
      <c r="A32" s="16" t="s">
        <v>44</v>
      </c>
      <c r="B32" s="17" t="n">
        <v>12</v>
      </c>
      <c r="C32" s="18" t="n">
        <v>10</v>
      </c>
      <c r="D32" s="18" t="n">
        <f aca="false">B32*C32</f>
        <v>120</v>
      </c>
    </row>
    <row r="33" customFormat="false" ht="15" hidden="false" customHeight="true" outlineLevel="0" collapsed="false">
      <c r="A33" s="16" t="s">
        <v>45</v>
      </c>
      <c r="B33" s="17" t="n">
        <v>10</v>
      </c>
      <c r="C33" s="18" t="n">
        <v>25</v>
      </c>
      <c r="D33" s="18" t="n">
        <f aca="false">B33*C33</f>
        <v>250</v>
      </c>
    </row>
    <row r="34" customFormat="false" ht="15" hidden="false" customHeight="true" outlineLevel="0" collapsed="false">
      <c r="A34" s="16" t="s">
        <v>46</v>
      </c>
      <c r="B34" s="17" t="n">
        <v>8</v>
      </c>
      <c r="C34" s="18" t="n">
        <v>22</v>
      </c>
      <c r="D34" s="18" t="n">
        <f aca="false">B34*C34</f>
        <v>176</v>
      </c>
    </row>
    <row r="35" customFormat="false" ht="15" hidden="false" customHeight="true" outlineLevel="0" collapsed="false">
      <c r="A35" s="19" t="s">
        <v>47</v>
      </c>
      <c r="B35" s="20"/>
      <c r="C35" s="20"/>
      <c r="D35" s="21" t="n">
        <f aca="false">SUM(D26:D34)</f>
        <v>2716</v>
      </c>
    </row>
    <row r="37" customFormat="false" ht="15" hidden="false" customHeight="true" outlineLevel="0" collapsed="false">
      <c r="A37" s="15" t="s">
        <v>48</v>
      </c>
      <c r="B37" s="15"/>
      <c r="C37" s="15"/>
      <c r="D37" s="15"/>
    </row>
    <row r="38" customFormat="false" ht="15" hidden="false" customHeight="true" outlineLevel="0" collapsed="false">
      <c r="A38" s="16" t="s">
        <v>49</v>
      </c>
      <c r="B38" s="17" t="n">
        <v>30</v>
      </c>
      <c r="C38" s="18" t="n">
        <v>8</v>
      </c>
      <c r="D38" s="18" t="n">
        <f aca="false">B38*C38</f>
        <v>240</v>
      </c>
    </row>
    <row r="39" customFormat="false" ht="15" hidden="false" customHeight="true" outlineLevel="0" collapsed="false">
      <c r="A39" s="16" t="s">
        <v>50</v>
      </c>
      <c r="B39" s="17" t="n">
        <v>20</v>
      </c>
      <c r="C39" s="18" t="n">
        <v>15</v>
      </c>
      <c r="D39" s="18" t="n">
        <f aca="false">B39*C39</f>
        <v>300</v>
      </c>
    </row>
    <row r="40" customFormat="false" ht="15" hidden="false" customHeight="true" outlineLevel="0" collapsed="false">
      <c r="A40" s="16" t="s">
        <v>51</v>
      </c>
      <c r="B40" s="17" t="n">
        <v>15</v>
      </c>
      <c r="C40" s="18" t="n">
        <v>12</v>
      </c>
      <c r="D40" s="18" t="n">
        <f aca="false">B40*C40</f>
        <v>180</v>
      </c>
    </row>
    <row r="41" customFormat="false" ht="15" hidden="false" customHeight="true" outlineLevel="0" collapsed="false">
      <c r="A41" s="16" t="s">
        <v>52</v>
      </c>
      <c r="B41" s="17" t="n">
        <v>20</v>
      </c>
      <c r="C41" s="18" t="n">
        <v>20</v>
      </c>
      <c r="D41" s="18" t="n">
        <f aca="false">B41*C41</f>
        <v>400</v>
      </c>
    </row>
    <row r="42" customFormat="false" ht="15" hidden="false" customHeight="true" outlineLevel="0" collapsed="false">
      <c r="A42" s="16" t="s">
        <v>53</v>
      </c>
      <c r="B42" s="17" t="n">
        <v>15</v>
      </c>
      <c r="C42" s="18" t="n">
        <v>28</v>
      </c>
      <c r="D42" s="18" t="n">
        <f aca="false">B42*C42</f>
        <v>420</v>
      </c>
    </row>
    <row r="43" customFormat="false" ht="15" hidden="false" customHeight="true" outlineLevel="0" collapsed="false">
      <c r="A43" s="16" t="s">
        <v>54</v>
      </c>
      <c r="B43" s="17" t="n">
        <v>50</v>
      </c>
      <c r="C43" s="18" t="n">
        <v>4</v>
      </c>
      <c r="D43" s="18" t="n">
        <f aca="false">B43*C43</f>
        <v>200</v>
      </c>
    </row>
    <row r="44" customFormat="false" ht="15" hidden="false" customHeight="true" outlineLevel="0" collapsed="false">
      <c r="A44" s="16" t="s">
        <v>55</v>
      </c>
      <c r="B44" s="17" t="n">
        <v>40</v>
      </c>
      <c r="C44" s="18" t="n">
        <v>5</v>
      </c>
      <c r="D44" s="18" t="n">
        <f aca="false">B44*C44</f>
        <v>200</v>
      </c>
    </row>
    <row r="45" customFormat="false" ht="15" hidden="false" customHeight="true" outlineLevel="0" collapsed="false">
      <c r="A45" s="16" t="s">
        <v>56</v>
      </c>
      <c r="B45" s="17" t="n">
        <v>30</v>
      </c>
      <c r="C45" s="18" t="n">
        <v>8</v>
      </c>
      <c r="D45" s="18" t="n">
        <f aca="false">B45*C45</f>
        <v>240</v>
      </c>
    </row>
    <row r="46" customFormat="false" ht="15" hidden="false" customHeight="true" outlineLevel="0" collapsed="false">
      <c r="A46" s="16" t="s">
        <v>57</v>
      </c>
      <c r="B46" s="17" t="n">
        <v>1</v>
      </c>
      <c r="C46" s="18" t="n">
        <v>320</v>
      </c>
      <c r="D46" s="18" t="n">
        <f aca="false">B46*C46</f>
        <v>320</v>
      </c>
    </row>
    <row r="47" customFormat="false" ht="15" hidden="false" customHeight="true" outlineLevel="0" collapsed="false">
      <c r="A47" s="19" t="s">
        <v>58</v>
      </c>
      <c r="B47" s="20"/>
      <c r="C47" s="20"/>
      <c r="D47" s="21" t="n">
        <f aca="false">SUM(D38:D46)</f>
        <v>2500</v>
      </c>
    </row>
    <row r="49" customFormat="false" ht="15" hidden="false" customHeight="true" outlineLevel="0" collapsed="false">
      <c r="A49" s="15" t="s">
        <v>59</v>
      </c>
      <c r="B49" s="15"/>
      <c r="C49" s="15"/>
      <c r="D49" s="15"/>
    </row>
    <row r="50" customFormat="false" ht="15" hidden="false" customHeight="true" outlineLevel="0" collapsed="false">
      <c r="A50" s="16" t="s">
        <v>60</v>
      </c>
      <c r="B50" s="17" t="n">
        <v>100</v>
      </c>
      <c r="C50" s="18" t="n">
        <v>4</v>
      </c>
      <c r="D50" s="18" t="n">
        <f aca="false">B50*C50</f>
        <v>400</v>
      </c>
    </row>
    <row r="51" customFormat="false" ht="15" hidden="false" customHeight="true" outlineLevel="0" collapsed="false">
      <c r="A51" s="16" t="s">
        <v>61</v>
      </c>
      <c r="B51" s="17" t="n">
        <v>80</v>
      </c>
      <c r="C51" s="18" t="n">
        <v>5</v>
      </c>
      <c r="D51" s="18" t="n">
        <f aca="false">B51*C51</f>
        <v>400</v>
      </c>
    </row>
    <row r="52" customFormat="false" ht="15" hidden="false" customHeight="true" outlineLevel="0" collapsed="false">
      <c r="A52" s="16" t="s">
        <v>62</v>
      </c>
      <c r="B52" s="17" t="n">
        <v>60</v>
      </c>
      <c r="C52" s="18" t="n">
        <v>3</v>
      </c>
      <c r="D52" s="18" t="n">
        <f aca="false">B52*C52</f>
        <v>180</v>
      </c>
    </row>
    <row r="53" customFormat="false" ht="15" hidden="false" customHeight="true" outlineLevel="0" collapsed="false">
      <c r="A53" s="16" t="s">
        <v>63</v>
      </c>
      <c r="B53" s="17" t="n">
        <v>100</v>
      </c>
      <c r="C53" s="18" t="n">
        <v>2</v>
      </c>
      <c r="D53" s="18" t="n">
        <f aca="false">B53*C53</f>
        <v>200</v>
      </c>
    </row>
    <row r="54" customFormat="false" ht="15" hidden="false" customHeight="true" outlineLevel="0" collapsed="false">
      <c r="A54" s="16" t="s">
        <v>64</v>
      </c>
      <c r="B54" s="17" t="n">
        <v>40</v>
      </c>
      <c r="C54" s="18" t="n">
        <v>12</v>
      </c>
      <c r="D54" s="18" t="n">
        <f aca="false">B54*C54</f>
        <v>480</v>
      </c>
    </row>
    <row r="55" customFormat="false" ht="15" hidden="false" customHeight="true" outlineLevel="0" collapsed="false">
      <c r="A55" s="16" t="s">
        <v>65</v>
      </c>
      <c r="B55" s="17" t="n">
        <v>30</v>
      </c>
      <c r="C55" s="18" t="n">
        <v>11</v>
      </c>
      <c r="D55" s="18" t="n">
        <f aca="false">B55*C55</f>
        <v>330</v>
      </c>
    </row>
    <row r="56" customFormat="false" ht="15" hidden="false" customHeight="true" outlineLevel="0" collapsed="false">
      <c r="A56" s="19" t="s">
        <v>66</v>
      </c>
      <c r="B56" s="20"/>
      <c r="C56" s="20"/>
      <c r="D56" s="21" t="n">
        <f aca="false">SUM(D50:D55)</f>
        <v>1990</v>
      </c>
    </row>
    <row r="58" customFormat="false" ht="15" hidden="false" customHeight="true" outlineLevel="0" collapsed="false">
      <c r="A58" s="15" t="s">
        <v>67</v>
      </c>
      <c r="B58" s="15"/>
      <c r="C58" s="15"/>
      <c r="D58" s="15"/>
    </row>
    <row r="59" customFormat="false" ht="15" hidden="false" customHeight="true" outlineLevel="0" collapsed="false">
      <c r="A59" s="16" t="s">
        <v>68</v>
      </c>
      <c r="B59" s="17" t="n">
        <v>30</v>
      </c>
      <c r="C59" s="18" t="n">
        <v>12</v>
      </c>
      <c r="D59" s="18" t="n">
        <f aca="false">B59*C59</f>
        <v>360</v>
      </c>
    </row>
    <row r="60" customFormat="false" ht="15" hidden="false" customHeight="true" outlineLevel="0" collapsed="false">
      <c r="A60" s="16" t="s">
        <v>69</v>
      </c>
      <c r="B60" s="17" t="n">
        <v>25</v>
      </c>
      <c r="C60" s="18" t="n">
        <v>9</v>
      </c>
      <c r="D60" s="18" t="n">
        <f aca="false">B60*C60</f>
        <v>225</v>
      </c>
    </row>
    <row r="61" customFormat="false" ht="15" hidden="false" customHeight="true" outlineLevel="0" collapsed="false">
      <c r="A61" s="16" t="s">
        <v>70</v>
      </c>
      <c r="B61" s="17" t="n">
        <v>50</v>
      </c>
      <c r="C61" s="18" t="n">
        <v>5</v>
      </c>
      <c r="D61" s="18" t="n">
        <f aca="false">B61*C61</f>
        <v>250</v>
      </c>
    </row>
    <row r="62" customFormat="false" ht="15" hidden="false" customHeight="true" outlineLevel="0" collapsed="false">
      <c r="A62" s="16" t="s">
        <v>71</v>
      </c>
      <c r="B62" s="17" t="n">
        <v>20</v>
      </c>
      <c r="C62" s="18" t="n">
        <v>6</v>
      </c>
      <c r="D62" s="18" t="n">
        <f aca="false">B62*C62</f>
        <v>120</v>
      </c>
    </row>
    <row r="63" customFormat="false" ht="15" hidden="false" customHeight="true" outlineLevel="0" collapsed="false">
      <c r="A63" s="16" t="s">
        <v>72</v>
      </c>
      <c r="B63" s="17" t="n">
        <v>15</v>
      </c>
      <c r="C63" s="18" t="n">
        <v>25</v>
      </c>
      <c r="D63" s="18" t="n">
        <f aca="false">B63*C63</f>
        <v>375</v>
      </c>
    </row>
    <row r="64" customFormat="false" ht="15" hidden="false" customHeight="true" outlineLevel="0" collapsed="false">
      <c r="A64" s="16" t="s">
        <v>73</v>
      </c>
      <c r="B64" s="17" t="n">
        <v>20</v>
      </c>
      <c r="C64" s="18" t="n">
        <v>8</v>
      </c>
      <c r="D64" s="18" t="n">
        <f aca="false">B64*C64</f>
        <v>160</v>
      </c>
    </row>
    <row r="65" customFormat="false" ht="15" hidden="false" customHeight="true" outlineLevel="0" collapsed="false">
      <c r="A65" s="19" t="s">
        <v>74</v>
      </c>
      <c r="B65" s="20"/>
      <c r="C65" s="20"/>
      <c r="D65" s="21" t="n">
        <f aca="false">SUM(D59:D64)</f>
        <v>1490</v>
      </c>
    </row>
    <row r="68" customFormat="false" ht="21.75" hidden="false" customHeight="true" outlineLevel="0" collapsed="false">
      <c r="A68" s="22" t="s">
        <v>75</v>
      </c>
      <c r="B68" s="23"/>
      <c r="C68" s="23"/>
      <c r="D68" s="24" t="n">
        <f aca="false">D16+D23+D35+D47+D56+D65</f>
        <v>22205</v>
      </c>
    </row>
  </sheetData>
  <mergeCells count="8">
    <mergeCell ref="A1:D1"/>
    <mergeCell ref="A2:D2"/>
    <mergeCell ref="A5:D5"/>
    <mergeCell ref="A18:D18"/>
    <mergeCell ref="A25:D25"/>
    <mergeCell ref="A37:D37"/>
    <mergeCell ref="A49:D49"/>
    <mergeCell ref="A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24" hidden="false" customHeight="true" outlineLevel="0" collapsed="false">
      <c r="A1" s="12" t="s">
        <v>15</v>
      </c>
      <c r="B1" s="12"/>
      <c r="C1" s="12"/>
      <c r="D1" s="12"/>
    </row>
    <row r="2" customFormat="false" ht="19.5" hidden="false" customHeight="true" outlineLevel="0" collapsed="false">
      <c r="A2" s="13" t="s">
        <v>7</v>
      </c>
      <c r="B2" s="13"/>
      <c r="C2" s="13"/>
      <c r="D2" s="13"/>
    </row>
    <row r="4" customFormat="false" ht="15" hidden="false" customHeight="true" outlineLevel="0" collapsed="false">
      <c r="A4" s="14" t="s">
        <v>16</v>
      </c>
      <c r="B4" s="14" t="s">
        <v>17</v>
      </c>
      <c r="C4" s="14" t="s">
        <v>18</v>
      </c>
      <c r="D4" s="14" t="s">
        <v>5</v>
      </c>
    </row>
    <row r="5" customFormat="false" ht="15" hidden="false" customHeight="true" outlineLevel="0" collapsed="false">
      <c r="A5" s="15" t="s">
        <v>76</v>
      </c>
      <c r="B5" s="15"/>
      <c r="C5" s="15"/>
      <c r="D5" s="15"/>
    </row>
    <row r="6" customFormat="false" ht="15" hidden="false" customHeight="true" outlineLevel="0" collapsed="false">
      <c r="A6" s="16" t="s">
        <v>77</v>
      </c>
      <c r="B6" s="17" t="n">
        <v>1</v>
      </c>
      <c r="C6" s="18" t="n">
        <v>690</v>
      </c>
      <c r="D6" s="18" t="n">
        <f aca="false">B6*C6</f>
        <v>690</v>
      </c>
    </row>
    <row r="7" customFormat="false" ht="15" hidden="false" customHeight="true" outlineLevel="0" collapsed="false">
      <c r="A7" s="16" t="s">
        <v>78</v>
      </c>
      <c r="B7" s="17" t="n">
        <v>1</v>
      </c>
      <c r="C7" s="18" t="n">
        <v>380</v>
      </c>
      <c r="D7" s="18" t="n">
        <f aca="false">B7*C7</f>
        <v>380</v>
      </c>
    </row>
    <row r="8" customFormat="false" ht="15" hidden="false" customHeight="true" outlineLevel="0" collapsed="false">
      <c r="A8" s="16" t="s">
        <v>79</v>
      </c>
      <c r="B8" s="17" t="n">
        <v>2</v>
      </c>
      <c r="C8" s="18" t="n">
        <v>240</v>
      </c>
      <c r="D8" s="18" t="n">
        <f aca="false">B8*C8</f>
        <v>480</v>
      </c>
    </row>
    <row r="9" customFormat="false" ht="15" hidden="false" customHeight="true" outlineLevel="0" collapsed="false">
      <c r="A9" s="16" t="s">
        <v>80</v>
      </c>
      <c r="B9" s="17" t="n">
        <v>2</v>
      </c>
      <c r="C9" s="18" t="n">
        <v>150</v>
      </c>
      <c r="D9" s="18" t="n">
        <f aca="false">B9*C9</f>
        <v>300</v>
      </c>
    </row>
    <row r="10" customFormat="false" ht="15" hidden="false" customHeight="true" outlineLevel="0" collapsed="false">
      <c r="A10" s="16" t="s">
        <v>81</v>
      </c>
      <c r="B10" s="17" t="n">
        <v>2</v>
      </c>
      <c r="C10" s="18" t="n">
        <v>95</v>
      </c>
      <c r="D10" s="18" t="n">
        <f aca="false">B10*C10</f>
        <v>190</v>
      </c>
    </row>
    <row r="11" customFormat="false" ht="15" hidden="false" customHeight="true" outlineLevel="0" collapsed="false">
      <c r="A11" s="19" t="s">
        <v>82</v>
      </c>
      <c r="B11" s="20"/>
      <c r="C11" s="20"/>
      <c r="D11" s="21" t="n">
        <f aca="false">SUM(D6:D10)</f>
        <v>2040</v>
      </c>
    </row>
    <row r="13" customFormat="false" ht="15" hidden="false" customHeight="true" outlineLevel="0" collapsed="false">
      <c r="A13" s="15" t="s">
        <v>83</v>
      </c>
      <c r="B13" s="15"/>
      <c r="C13" s="15"/>
      <c r="D13" s="15"/>
    </row>
    <row r="14" customFormat="false" ht="15" hidden="false" customHeight="true" outlineLevel="0" collapsed="false">
      <c r="A14" s="16" t="s">
        <v>84</v>
      </c>
      <c r="B14" s="17" t="n">
        <v>1</v>
      </c>
      <c r="C14" s="18" t="n">
        <v>540</v>
      </c>
      <c r="D14" s="18" t="n">
        <f aca="false">B14*C14</f>
        <v>540</v>
      </c>
    </row>
    <row r="15" customFormat="false" ht="15" hidden="false" customHeight="true" outlineLevel="0" collapsed="false">
      <c r="A15" s="16" t="s">
        <v>85</v>
      </c>
      <c r="B15" s="17" t="n">
        <v>1</v>
      </c>
      <c r="C15" s="18" t="n">
        <v>320</v>
      </c>
      <c r="D15" s="18" t="n">
        <f aca="false">B15*C15</f>
        <v>320</v>
      </c>
    </row>
    <row r="16" customFormat="false" ht="15" hidden="false" customHeight="true" outlineLevel="0" collapsed="false">
      <c r="A16" s="16" t="s">
        <v>86</v>
      </c>
      <c r="B16" s="17" t="n">
        <v>1</v>
      </c>
      <c r="C16" s="18" t="n">
        <v>235</v>
      </c>
      <c r="D16" s="18" t="n">
        <f aca="false">B16*C16</f>
        <v>235</v>
      </c>
    </row>
    <row r="17" customFormat="false" ht="15" hidden="false" customHeight="true" outlineLevel="0" collapsed="false">
      <c r="A17" s="16" t="s">
        <v>87</v>
      </c>
      <c r="B17" s="17" t="n">
        <v>1</v>
      </c>
      <c r="C17" s="18" t="n">
        <v>175</v>
      </c>
      <c r="D17" s="18" t="n">
        <f aca="false">B17*C17</f>
        <v>175</v>
      </c>
    </row>
    <row r="18" customFormat="false" ht="15" hidden="false" customHeight="true" outlineLevel="0" collapsed="false">
      <c r="A18" s="16" t="s">
        <v>88</v>
      </c>
      <c r="B18" s="17" t="n">
        <v>2</v>
      </c>
      <c r="C18" s="18" t="n">
        <v>130</v>
      </c>
      <c r="D18" s="18" t="n">
        <f aca="false">B18*C18</f>
        <v>260</v>
      </c>
    </row>
    <row r="19" customFormat="false" ht="15" hidden="false" customHeight="true" outlineLevel="0" collapsed="false">
      <c r="A19" s="19" t="s">
        <v>89</v>
      </c>
      <c r="B19" s="20"/>
      <c r="C19" s="20"/>
      <c r="D19" s="21" t="n">
        <f aca="false">SUM(D14:D18)</f>
        <v>1530</v>
      </c>
    </row>
    <row r="22" customFormat="false" ht="21.75" hidden="false" customHeight="true" outlineLevel="0" collapsed="false">
      <c r="A22" s="22" t="s">
        <v>90</v>
      </c>
      <c r="B22" s="23"/>
      <c r="C22" s="23"/>
      <c r="D22" s="24" t="n">
        <f aca="false">D11+D19</f>
        <v>3570</v>
      </c>
    </row>
  </sheetData>
  <mergeCells count="4">
    <mergeCell ref="A1:D1"/>
    <mergeCell ref="A2:D2"/>
    <mergeCell ref="A5:D5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24" hidden="false" customHeight="true" outlineLevel="0" collapsed="false">
      <c r="A1" s="25" t="s">
        <v>15</v>
      </c>
      <c r="B1" s="25"/>
      <c r="C1" s="25"/>
      <c r="D1" s="25"/>
    </row>
    <row r="2" customFormat="false" ht="19.5" hidden="false" customHeight="true" outlineLevel="0" collapsed="false">
      <c r="A2" s="26" t="s">
        <v>91</v>
      </c>
      <c r="B2" s="26"/>
      <c r="C2" s="26"/>
      <c r="D2" s="26"/>
    </row>
    <row r="3" customFormat="false" ht="15" hidden="false" customHeight="false" outlineLevel="0" collapsed="false">
      <c r="A3" s="27" t="s">
        <v>92</v>
      </c>
      <c r="B3" s="27"/>
      <c r="C3" s="27"/>
      <c r="D3" s="27"/>
    </row>
    <row r="5" customFormat="false" ht="15" hidden="false" customHeight="false" outlineLevel="0" collapsed="false">
      <c r="A5" s="14" t="s">
        <v>93</v>
      </c>
      <c r="B5" s="14" t="s">
        <v>17</v>
      </c>
      <c r="C5" s="14" t="s">
        <v>94</v>
      </c>
      <c r="D5" s="14" t="s">
        <v>95</v>
      </c>
    </row>
    <row r="6" customFormat="false" ht="15" hidden="false" customHeight="false" outlineLevel="0" collapsed="false">
      <c r="A6" s="28" t="s">
        <v>96</v>
      </c>
      <c r="B6" s="29" t="n">
        <v>2</v>
      </c>
      <c r="C6" s="30" t="n">
        <v>385</v>
      </c>
      <c r="D6" s="30" t="n">
        <f aca="false">B6*C6</f>
        <v>770</v>
      </c>
    </row>
    <row r="7" customFormat="false" ht="15" hidden="false" customHeight="false" outlineLevel="0" collapsed="false">
      <c r="A7" s="31" t="s">
        <v>97</v>
      </c>
      <c r="B7" s="17" t="n">
        <v>1</v>
      </c>
      <c r="C7" s="32" t="n">
        <v>600</v>
      </c>
      <c r="D7" s="32" t="n">
        <f aca="false">B7*C7</f>
        <v>600</v>
      </c>
    </row>
    <row r="8" customFormat="false" ht="15" hidden="false" customHeight="false" outlineLevel="0" collapsed="false">
      <c r="A8" s="28" t="s">
        <v>98</v>
      </c>
      <c r="B8" s="29" t="n">
        <v>2</v>
      </c>
      <c r="C8" s="30" t="n">
        <v>290</v>
      </c>
      <c r="D8" s="30" t="n">
        <f aca="false">B8*C8</f>
        <v>580</v>
      </c>
    </row>
    <row r="9" customFormat="false" ht="15" hidden="false" customHeight="false" outlineLevel="0" collapsed="false">
      <c r="A9" s="31" t="s">
        <v>99</v>
      </c>
      <c r="B9" s="17" t="n">
        <v>2</v>
      </c>
      <c r="C9" s="32" t="n">
        <v>265</v>
      </c>
      <c r="D9" s="32" t="n">
        <f aca="false">B9*C9</f>
        <v>530</v>
      </c>
    </row>
    <row r="10" customFormat="false" ht="15" hidden="false" customHeight="false" outlineLevel="0" collapsed="false">
      <c r="A10" s="28" t="s">
        <v>100</v>
      </c>
      <c r="B10" s="29" t="n">
        <v>1</v>
      </c>
      <c r="C10" s="30" t="n">
        <v>355</v>
      </c>
      <c r="D10" s="30" t="n">
        <f aca="false">B10*C10</f>
        <v>355</v>
      </c>
    </row>
    <row r="11" customFormat="false" ht="15" hidden="false" customHeight="false" outlineLevel="0" collapsed="false">
      <c r="A11" s="31" t="s">
        <v>101</v>
      </c>
      <c r="B11" s="17" t="n">
        <v>1</v>
      </c>
      <c r="C11" s="32" t="n">
        <v>335</v>
      </c>
      <c r="D11" s="32" t="n">
        <f aca="false">B11*C11</f>
        <v>335</v>
      </c>
    </row>
    <row r="12" customFormat="false" ht="15" hidden="false" customHeight="false" outlineLevel="0" collapsed="false">
      <c r="A12" s="28" t="s">
        <v>102</v>
      </c>
      <c r="B12" s="29" t="n">
        <v>1</v>
      </c>
      <c r="C12" s="30" t="n">
        <v>300</v>
      </c>
      <c r="D12" s="30" t="n">
        <f aca="false">B12*C12</f>
        <v>300</v>
      </c>
    </row>
    <row r="13" customFormat="false" ht="15" hidden="false" customHeight="false" outlineLevel="0" collapsed="false">
      <c r="A13" s="31" t="s">
        <v>103</v>
      </c>
      <c r="B13" s="17" t="n">
        <v>1</v>
      </c>
      <c r="C13" s="32" t="n">
        <v>300</v>
      </c>
      <c r="D13" s="32" t="n">
        <f aca="false">B13*C13</f>
        <v>300</v>
      </c>
    </row>
    <row r="14" customFormat="false" ht="15" hidden="false" customHeight="false" outlineLevel="0" collapsed="false">
      <c r="A14" s="28" t="s">
        <v>104</v>
      </c>
      <c r="B14" s="29" t="n">
        <v>1</v>
      </c>
      <c r="C14" s="30" t="n">
        <v>200</v>
      </c>
      <c r="D14" s="30" t="n">
        <f aca="false">B14*C14</f>
        <v>200</v>
      </c>
    </row>
    <row r="15" customFormat="false" ht="15" hidden="false" customHeight="false" outlineLevel="0" collapsed="false">
      <c r="A15" s="31" t="s">
        <v>105</v>
      </c>
      <c r="B15" s="17" t="n">
        <v>1</v>
      </c>
      <c r="C15" s="32" t="n">
        <v>169.98</v>
      </c>
      <c r="D15" s="32" t="n">
        <f aca="false">B15*C15</f>
        <v>169.98</v>
      </c>
    </row>
    <row r="16" customFormat="false" ht="15" hidden="false" customHeight="false" outlineLevel="0" collapsed="false">
      <c r="A16" s="28" t="s">
        <v>106</v>
      </c>
      <c r="B16" s="29" t="n">
        <v>1</v>
      </c>
      <c r="C16" s="30" t="n">
        <v>160</v>
      </c>
      <c r="D16" s="30" t="n">
        <f aca="false">B16*C16</f>
        <v>160</v>
      </c>
    </row>
    <row r="17" customFormat="false" ht="15" hidden="false" customHeight="false" outlineLevel="0" collapsed="false">
      <c r="A17" s="31" t="s">
        <v>107</v>
      </c>
      <c r="B17" s="17" t="n">
        <v>1</v>
      </c>
      <c r="C17" s="32" t="n">
        <v>155</v>
      </c>
      <c r="D17" s="32" t="n">
        <f aca="false">B17*C17</f>
        <v>155</v>
      </c>
    </row>
    <row r="18" customFormat="false" ht="15" hidden="false" customHeight="false" outlineLevel="0" collapsed="false">
      <c r="A18" s="28" t="s">
        <v>108</v>
      </c>
      <c r="B18" s="29" t="n">
        <v>1</v>
      </c>
      <c r="C18" s="30" t="n">
        <v>150</v>
      </c>
      <c r="D18" s="30" t="n">
        <f aca="false">B18*C18</f>
        <v>150</v>
      </c>
    </row>
    <row r="19" customFormat="false" ht="15" hidden="false" customHeight="false" outlineLevel="0" collapsed="false">
      <c r="A19" s="31" t="s">
        <v>109</v>
      </c>
      <c r="B19" s="17" t="n">
        <v>1</v>
      </c>
      <c r="C19" s="32" t="n">
        <v>130</v>
      </c>
      <c r="D19" s="32" t="n">
        <f aca="false">B19*C19</f>
        <v>130</v>
      </c>
    </row>
    <row r="20" customFormat="false" ht="15" hidden="false" customHeight="false" outlineLevel="0" collapsed="false">
      <c r="A20" s="28" t="s">
        <v>110</v>
      </c>
      <c r="B20" s="29" t="n">
        <v>1</v>
      </c>
      <c r="C20" s="30" t="n">
        <v>130</v>
      </c>
      <c r="D20" s="30" t="n">
        <f aca="false">B20*C20</f>
        <v>130</v>
      </c>
    </row>
    <row r="21" customFormat="false" ht="15" hidden="false" customHeight="false" outlineLevel="0" collapsed="false">
      <c r="A21" s="31" t="s">
        <v>111</v>
      </c>
      <c r="B21" s="17" t="n">
        <v>1</v>
      </c>
      <c r="C21" s="32" t="n">
        <v>80</v>
      </c>
      <c r="D21" s="32" t="n">
        <f aca="false">B21*C21</f>
        <v>80</v>
      </c>
    </row>
    <row r="22" customFormat="false" ht="15" hidden="false" customHeight="false" outlineLevel="0" collapsed="false">
      <c r="A22" s="28" t="s">
        <v>112</v>
      </c>
      <c r="B22" s="29" t="n">
        <v>1</v>
      </c>
      <c r="C22" s="30" t="n">
        <v>50</v>
      </c>
      <c r="D22" s="30" t="n">
        <f aca="false">B22*C22</f>
        <v>50</v>
      </c>
    </row>
    <row r="24" customFormat="false" ht="21.75" hidden="false" customHeight="true" outlineLevel="0" collapsed="false">
      <c r="A24" s="33" t="s">
        <v>113</v>
      </c>
      <c r="B24" s="34" t="n">
        <f aca="false">SUM(B6:B22)</f>
        <v>20</v>
      </c>
      <c r="C24" s="35"/>
      <c r="D24" s="36" t="n">
        <f aca="false">SUM(D6:D22)</f>
        <v>4994.98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2026-06-09T13:39:04Z</dcterms:created>
  <dc:creator>openpyxl</dc:creator>
  <dc:description/>
  <dc:language>en-US</dc:language>
  <cp:lastModifiedBy/>
  <dcterms:modified xsi:type="dcterms:W3CDTF">2026-06-09T14:02:31Z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